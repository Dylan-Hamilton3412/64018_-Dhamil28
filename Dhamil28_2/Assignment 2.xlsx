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d45f3f938d389f/Documents/GitHub/64018_-Dhamil28/Dhamil28_2/"/>
    </mc:Choice>
  </mc:AlternateContent>
  <xr:revisionPtr revIDLastSave="7" documentId="8_{CC38EFD1-8FDF-47E9-8D53-2AEEB32A28DC}" xr6:coauthVersionLast="47" xr6:coauthVersionMax="47" xr10:uidLastSave="{0208A548-48BC-4115-88DA-4BFF8469851B}"/>
  <bookViews>
    <workbookView xWindow="25695" yWindow="0" windowWidth="26010" windowHeight="20985" xr2:uid="{BE2B597D-B120-4C36-9BAF-3210B7FB0B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1" l="1"/>
  <c r="G9" i="1" s="1"/>
  <c r="E10" i="1"/>
  <c r="G10" i="1" s="1"/>
  <c r="E8" i="1"/>
  <c r="G8" i="1" s="1"/>
  <c r="D11" i="1"/>
  <c r="D13" i="1" s="1"/>
  <c r="C11" i="1"/>
  <c r="C13" i="1" s="1"/>
  <c r="B11" i="1"/>
  <c r="B13" i="1" s="1"/>
  <c r="G11" i="1" l="1"/>
</calcChain>
</file>

<file path=xl/sharedStrings.xml><?xml version="1.0" encoding="utf-8"?>
<sst xmlns="http://schemas.openxmlformats.org/spreadsheetml/2006/main" count="77" uniqueCount="69">
  <si>
    <t>Demand</t>
  </si>
  <si>
    <t>Constraints</t>
  </si>
  <si>
    <t>Formula</t>
  </si>
  <si>
    <t>Decision Variables</t>
  </si>
  <si>
    <t>Objective Function</t>
  </si>
  <si>
    <t>Maximize Profit</t>
  </si>
  <si>
    <t>Plant 1</t>
  </si>
  <si>
    <t>Plant 2</t>
  </si>
  <si>
    <t>Plant 3</t>
  </si>
  <si>
    <t>Large</t>
  </si>
  <si>
    <t>Medium</t>
  </si>
  <si>
    <t>Small</t>
  </si>
  <si>
    <t>Profit</t>
  </si>
  <si>
    <t>Capacity</t>
  </si>
  <si>
    <t>Storage</t>
  </si>
  <si>
    <t>Storage Required</t>
  </si>
  <si>
    <t>Quantity of Large Produced @ Plant 1</t>
  </si>
  <si>
    <t>L1</t>
  </si>
  <si>
    <t>L2</t>
  </si>
  <si>
    <t>L3</t>
  </si>
  <si>
    <t>M1</t>
  </si>
  <si>
    <t>M2</t>
  </si>
  <si>
    <t>M3</t>
  </si>
  <si>
    <t>Quantity of Large Produced @Plant 2</t>
  </si>
  <si>
    <t>Quantity of Large Produced@ Plant 3</t>
  </si>
  <si>
    <t>S1</t>
  </si>
  <si>
    <t>S2</t>
  </si>
  <si>
    <t>S3</t>
  </si>
  <si>
    <t>Quantity of Medium produced @ Plant 3</t>
  </si>
  <si>
    <t>Quantity of Medium produced @ Plant 2</t>
  </si>
  <si>
    <t>Quantity of Medium produced @ Plant 1</t>
  </si>
  <si>
    <t>Quantity of Small Produced @ Plant 1</t>
  </si>
  <si>
    <t>Quantity of Small Produced @ Plant 2</t>
  </si>
  <si>
    <t>Quantity of Small Produced @ Plant 3</t>
  </si>
  <si>
    <t>Max proft(Z) = 420(L1 + L2 + L3) +360(M1 + M2 + M3) +300(S1 + S2 + S3)</t>
  </si>
  <si>
    <t>Demand Large</t>
  </si>
  <si>
    <t>L1 + L2 + L3 &lt;= 900</t>
  </si>
  <si>
    <t>Demand Medium</t>
  </si>
  <si>
    <t>M1 + M2 + M3 &lt;=1200</t>
  </si>
  <si>
    <t>Demand Small</t>
  </si>
  <si>
    <t>S1 + S2 + S3 &lt;= 750</t>
  </si>
  <si>
    <t>L1 + M1 + S1 &lt;=750</t>
  </si>
  <si>
    <t>L2 + M2 + S2 &lt;= 900</t>
  </si>
  <si>
    <t>L3 + M3 + S3 &lt;= 450</t>
  </si>
  <si>
    <t>Storage Room Plant 1</t>
  </si>
  <si>
    <t>20L1 + 15M1 + 12S1 &lt;=13000</t>
  </si>
  <si>
    <t>Storage Room Plant 2</t>
  </si>
  <si>
    <t>Storage Room Plant 3</t>
  </si>
  <si>
    <t>20L2 + 15M2 + 12S2 &lt;=12000</t>
  </si>
  <si>
    <t>20L3 + 15M3 + 12S3 &lt;= 5000</t>
  </si>
  <si>
    <t>Non Negativity</t>
  </si>
  <si>
    <t>L1, L2, L3, M1, M2, M3, S1, S2, S3 &gt;=0</t>
  </si>
  <si>
    <t>L1 + M1 + S1 = 750P</t>
  </si>
  <si>
    <t>Capactity Plant 1</t>
  </si>
  <si>
    <t>Capactity Plant 2</t>
  </si>
  <si>
    <t>Capactity Plant 3</t>
  </si>
  <si>
    <t>P = percentage of excess capacity used at each plant</t>
  </si>
  <si>
    <t>L2 + M2 + S2 = 900P</t>
  </si>
  <si>
    <t>L3 + M3 + S3 = 450P</t>
  </si>
  <si>
    <t>0 &lt;= P &lt;= 1</t>
  </si>
  <si>
    <t>Plant 1 percentage constraint</t>
  </si>
  <si>
    <t>Plant 2 percentage constraint</t>
  </si>
  <si>
    <t>Plant 3 percentage constraint</t>
  </si>
  <si>
    <t>ProductionCapacity</t>
  </si>
  <si>
    <t>Total</t>
  </si>
  <si>
    <t>Percentage</t>
  </si>
  <si>
    <t>Profit per unit</t>
  </si>
  <si>
    <t>Sum Profit</t>
  </si>
  <si>
    <t>FINAL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</si>
</sst>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167" fontId="0" fillId="2" borderId="1" xfId="0" applyNumberFormat="1" applyFill="1" applyBorder="1"/>
    <xf numFmtId="1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6C87C-90E0-474D-9BA4-6DCAC8D10F6D}">
  <dimension ref="A1:O16"/>
  <sheetViews>
    <sheetView tabSelected="1" zoomScale="115" zoomScaleNormal="115" workbookViewId="0">
      <selection activeCell="M15" sqref="M15"/>
    </sheetView>
  </sheetViews>
  <sheetFormatPr defaultRowHeight="15" x14ac:dyDescent="0.25"/>
  <cols>
    <col min="1" max="1" width="18.5703125" bestFit="1" customWidth="1"/>
    <col min="2" max="4" width="7.7109375" bestFit="1" customWidth="1"/>
    <col min="5" max="5" width="5.42578125" bestFit="1" customWidth="1"/>
    <col min="6" max="6" width="16" bestFit="1" customWidth="1"/>
    <col min="7" max="7" width="12.140625" bestFit="1" customWidth="1"/>
    <col min="8" max="8" width="8.140625" bestFit="1" customWidth="1"/>
    <col min="9" max="9" width="6" bestFit="1" customWidth="1"/>
    <col min="10" max="10" width="7.7109375" bestFit="1" customWidth="1"/>
    <col min="11" max="11" width="27.140625" bestFit="1" customWidth="1"/>
    <col min="12" max="12" width="33.28515625" bestFit="1" customWidth="1"/>
    <col min="13" max="13" width="17.85546875" bestFit="1" customWidth="1"/>
    <col min="14" max="14" width="36.42578125" bestFit="1" customWidth="1"/>
    <col min="15" max="15" width="17.5703125" bestFit="1" customWidth="1"/>
    <col min="16" max="16" width="8.140625" bestFit="1" customWidth="1"/>
    <col min="17" max="17" width="6" bestFit="1" customWidth="1"/>
    <col min="19" max="19" width="27.140625" bestFit="1" customWidth="1"/>
    <col min="20" max="20" width="32.5703125" bestFit="1" customWidth="1"/>
    <col min="21" max="21" width="27.28515625" customWidth="1"/>
    <col min="22" max="22" width="36.42578125" bestFit="1" customWidth="1"/>
    <col min="23" max="23" width="18.5703125" bestFit="1" customWidth="1"/>
  </cols>
  <sheetData>
    <row r="1" spans="1:15" x14ac:dyDescent="0.25">
      <c r="A1" s="1"/>
      <c r="B1" s="1" t="s">
        <v>6</v>
      </c>
      <c r="C1" s="1" t="s">
        <v>7</v>
      </c>
      <c r="D1" s="1" t="s">
        <v>8</v>
      </c>
      <c r="E1" s="1"/>
      <c r="F1" s="1"/>
      <c r="G1" s="1" t="s">
        <v>9</v>
      </c>
      <c r="H1" s="1" t="s">
        <v>10</v>
      </c>
      <c r="I1" s="1" t="s">
        <v>11</v>
      </c>
      <c r="J1" s="1"/>
      <c r="K1" s="1" t="s">
        <v>1</v>
      </c>
      <c r="L1" s="1"/>
      <c r="M1" s="1" t="s">
        <v>3</v>
      </c>
      <c r="N1" s="1"/>
      <c r="O1" s="1" t="s">
        <v>4</v>
      </c>
    </row>
    <row r="2" spans="1:15" x14ac:dyDescent="0.25">
      <c r="A2" s="1" t="s">
        <v>63</v>
      </c>
      <c r="B2" s="1">
        <v>750</v>
      </c>
      <c r="C2" s="1">
        <v>900</v>
      </c>
      <c r="D2" s="1">
        <v>450</v>
      </c>
      <c r="E2" s="1"/>
      <c r="F2" s="1" t="s">
        <v>12</v>
      </c>
      <c r="G2" s="1">
        <v>420</v>
      </c>
      <c r="H2" s="1">
        <v>360</v>
      </c>
      <c r="I2" s="1">
        <v>300</v>
      </c>
      <c r="J2" s="1"/>
      <c r="K2" s="1" t="s">
        <v>35</v>
      </c>
      <c r="L2" s="1" t="s">
        <v>36</v>
      </c>
      <c r="M2" s="1" t="s">
        <v>17</v>
      </c>
      <c r="N2" s="1" t="s">
        <v>16</v>
      </c>
      <c r="O2" s="1" t="s">
        <v>5</v>
      </c>
    </row>
    <row r="3" spans="1:15" ht="15.75" customHeight="1" x14ac:dyDescent="0.25">
      <c r="A3" s="1" t="s">
        <v>14</v>
      </c>
      <c r="B3" s="1">
        <v>13000</v>
      </c>
      <c r="C3" s="1">
        <v>12000</v>
      </c>
      <c r="D3" s="1">
        <v>5000</v>
      </c>
      <c r="E3" s="1"/>
      <c r="F3" s="1" t="s">
        <v>15</v>
      </c>
      <c r="G3" s="1">
        <v>20</v>
      </c>
      <c r="H3" s="1">
        <v>15</v>
      </c>
      <c r="I3" s="1">
        <v>12</v>
      </c>
      <c r="J3" s="1"/>
      <c r="K3" s="1" t="s">
        <v>37</v>
      </c>
      <c r="L3" s="1" t="s">
        <v>38</v>
      </c>
      <c r="M3" s="1" t="s">
        <v>18</v>
      </c>
      <c r="N3" s="1" t="s">
        <v>23</v>
      </c>
    </row>
    <row r="4" spans="1:15" x14ac:dyDescent="0.25">
      <c r="A4" s="1"/>
      <c r="B4" s="1"/>
      <c r="C4" s="1"/>
      <c r="D4" s="1"/>
      <c r="E4" s="1"/>
      <c r="F4" s="1" t="s">
        <v>0</v>
      </c>
      <c r="G4" s="1">
        <v>900</v>
      </c>
      <c r="H4" s="1">
        <v>1200</v>
      </c>
      <c r="I4" s="1">
        <v>750</v>
      </c>
      <c r="J4" s="1"/>
      <c r="K4" s="1" t="s">
        <v>39</v>
      </c>
      <c r="L4" s="1" t="s">
        <v>40</v>
      </c>
      <c r="M4" s="1" t="s">
        <v>19</v>
      </c>
      <c r="N4" s="1" t="s">
        <v>24</v>
      </c>
    </row>
    <row r="5" spans="1:15" x14ac:dyDescent="0.25">
      <c r="K5" s="1" t="s">
        <v>53</v>
      </c>
      <c r="L5" s="1" t="s">
        <v>41</v>
      </c>
      <c r="M5" s="1" t="s">
        <v>20</v>
      </c>
      <c r="N5" s="1" t="s">
        <v>30</v>
      </c>
    </row>
    <row r="6" spans="1:15" x14ac:dyDescent="0.25">
      <c r="K6" s="1" t="s">
        <v>54</v>
      </c>
      <c r="L6" s="1" t="s">
        <v>42</v>
      </c>
      <c r="M6" s="1" t="s">
        <v>21</v>
      </c>
      <c r="N6" s="1" t="s">
        <v>29</v>
      </c>
    </row>
    <row r="7" spans="1:15" x14ac:dyDescent="0.25">
      <c r="A7" s="3" t="s">
        <v>68</v>
      </c>
      <c r="B7" s="4" t="s">
        <v>6</v>
      </c>
      <c r="C7" s="4" t="s">
        <v>7</v>
      </c>
      <c r="D7" s="4" t="s">
        <v>8</v>
      </c>
      <c r="E7" s="4" t="s">
        <v>64</v>
      </c>
      <c r="F7" s="4" t="s">
        <v>66</v>
      </c>
      <c r="G7" s="4" t="s">
        <v>12</v>
      </c>
      <c r="K7" s="1" t="s">
        <v>55</v>
      </c>
      <c r="L7" s="1" t="s">
        <v>43</v>
      </c>
      <c r="M7" s="1" t="s">
        <v>22</v>
      </c>
      <c r="N7" s="1" t="s">
        <v>28</v>
      </c>
    </row>
    <row r="8" spans="1:15" x14ac:dyDescent="0.25">
      <c r="A8" s="4" t="s">
        <v>9</v>
      </c>
      <c r="B8" s="4">
        <v>531</v>
      </c>
      <c r="C8" s="4">
        <v>0</v>
      </c>
      <c r="D8" s="4">
        <v>1</v>
      </c>
      <c r="E8" s="4">
        <f>SUM(B8:D8)</f>
        <v>532</v>
      </c>
      <c r="F8" s="4">
        <v>420</v>
      </c>
      <c r="G8" s="5">
        <f>E8*F8</f>
        <v>223440</v>
      </c>
      <c r="K8" s="1" t="s">
        <v>44</v>
      </c>
      <c r="L8" s="1" t="s">
        <v>45</v>
      </c>
      <c r="M8" s="1" t="s">
        <v>25</v>
      </c>
      <c r="N8" s="1" t="s">
        <v>31</v>
      </c>
    </row>
    <row r="9" spans="1:15" x14ac:dyDescent="0.25">
      <c r="A9" s="4" t="s">
        <v>10</v>
      </c>
      <c r="B9" s="4">
        <v>157</v>
      </c>
      <c r="C9" s="4">
        <v>688</v>
      </c>
      <c r="D9" s="4">
        <v>8</v>
      </c>
      <c r="E9" s="4">
        <f t="shared" ref="E9:E10" si="0">SUM(B9:D9)</f>
        <v>853</v>
      </c>
      <c r="F9" s="4">
        <v>360</v>
      </c>
      <c r="G9" s="5">
        <f t="shared" ref="G9:G10" si="1">E9*F9</f>
        <v>307080</v>
      </c>
      <c r="K9" s="1" t="s">
        <v>46</v>
      </c>
      <c r="L9" s="1" t="s">
        <v>48</v>
      </c>
      <c r="M9" s="1" t="s">
        <v>26</v>
      </c>
      <c r="N9" s="1" t="s">
        <v>32</v>
      </c>
    </row>
    <row r="10" spans="1:15" x14ac:dyDescent="0.25">
      <c r="A10" s="4" t="s">
        <v>11</v>
      </c>
      <c r="B10" s="4">
        <v>2</v>
      </c>
      <c r="C10" s="4">
        <v>140</v>
      </c>
      <c r="D10" s="4">
        <v>405</v>
      </c>
      <c r="E10" s="4">
        <f t="shared" si="0"/>
        <v>547</v>
      </c>
      <c r="F10" s="4">
        <v>300</v>
      </c>
      <c r="G10" s="5">
        <f t="shared" si="1"/>
        <v>164100</v>
      </c>
      <c r="K10" s="1" t="s">
        <v>47</v>
      </c>
      <c r="L10" s="1" t="s">
        <v>49</v>
      </c>
      <c r="M10" s="1" t="s">
        <v>27</v>
      </c>
      <c r="N10" s="1" t="s">
        <v>33</v>
      </c>
    </row>
    <row r="11" spans="1:15" x14ac:dyDescent="0.25">
      <c r="A11" s="4" t="s">
        <v>64</v>
      </c>
      <c r="B11" s="4">
        <f>SUM(B8:B10)</f>
        <v>690</v>
      </c>
      <c r="C11" s="4">
        <f>SUM(C8:C10)</f>
        <v>828</v>
      </c>
      <c r="D11" s="4">
        <f>SUM(D8:D10)</f>
        <v>414</v>
      </c>
      <c r="E11" s="4"/>
      <c r="F11" s="3" t="s">
        <v>67</v>
      </c>
      <c r="G11" s="5">
        <f>SUM(G8:G10)</f>
        <v>694620</v>
      </c>
      <c r="K11" s="1" t="s">
        <v>60</v>
      </c>
      <c r="L11" s="1" t="s">
        <v>52</v>
      </c>
      <c r="M11" s="1"/>
      <c r="N11" s="1"/>
    </row>
    <row r="12" spans="1:15" x14ac:dyDescent="0.25">
      <c r="A12" s="4" t="s">
        <v>13</v>
      </c>
      <c r="B12" s="4">
        <v>750</v>
      </c>
      <c r="C12" s="4">
        <v>900</v>
      </c>
      <c r="D12" s="4">
        <v>450</v>
      </c>
      <c r="E12" s="4"/>
      <c r="F12" s="4"/>
      <c r="G12" s="4"/>
      <c r="K12" s="1" t="s">
        <v>61</v>
      </c>
      <c r="L12" s="1" t="s">
        <v>57</v>
      </c>
      <c r="M12" s="1" t="s">
        <v>2</v>
      </c>
      <c r="N12" s="1"/>
    </row>
    <row r="13" spans="1:15" x14ac:dyDescent="0.25">
      <c r="A13" s="4" t="s">
        <v>65</v>
      </c>
      <c r="B13" s="6">
        <f>B11/B12</f>
        <v>0.92</v>
      </c>
      <c r="C13" s="6">
        <f>C11/C12</f>
        <v>0.92</v>
      </c>
      <c r="D13" s="6">
        <f>D11/D12</f>
        <v>0.92</v>
      </c>
      <c r="E13" s="4"/>
      <c r="F13" s="4"/>
      <c r="G13" s="4"/>
      <c r="K13" s="1" t="s">
        <v>62</v>
      </c>
      <c r="L13" s="1" t="s">
        <v>58</v>
      </c>
      <c r="M13" s="2" t="s">
        <v>34</v>
      </c>
      <c r="N13" s="2"/>
    </row>
    <row r="14" spans="1:15" x14ac:dyDescent="0.25">
      <c r="K14" s="2" t="s">
        <v>56</v>
      </c>
      <c r="L14" s="2"/>
    </row>
    <row r="15" spans="1:15" x14ac:dyDescent="0.25">
      <c r="K15" s="2" t="s">
        <v>59</v>
      </c>
      <c r="L15" s="2"/>
    </row>
    <row r="16" spans="1:15" x14ac:dyDescent="0.25">
      <c r="K16" s="1" t="s">
        <v>50</v>
      </c>
      <c r="L16" s="1" t="s">
        <v>51</v>
      </c>
    </row>
  </sheetData>
  <mergeCells count="3">
    <mergeCell ref="M13:N13"/>
    <mergeCell ref="K14:L14"/>
    <mergeCell ref="K15:L15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hamilton</dc:creator>
  <cp:lastModifiedBy>dylan hamilton</cp:lastModifiedBy>
  <dcterms:created xsi:type="dcterms:W3CDTF">2026-09-09T00:11:33Z</dcterms:created>
  <dcterms:modified xsi:type="dcterms:W3CDTF">2026-09-27T16:42:20Z</dcterms:modified>
</cp:coreProperties>
</file>