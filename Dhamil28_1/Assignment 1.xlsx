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prod-my.sharepoint.com/personal/dhamil28_kent_edu/Documents/26. Fall/"/>
    </mc:Choice>
  </mc:AlternateContent>
  <xr:revisionPtr revIDLastSave="229" documentId="8_{84468A3B-D960-4D6E-954C-8177B3336FAC}" xr6:coauthVersionLast="47" xr6:coauthVersionMax="47" xr10:uidLastSave="{CDCE85E8-A2BE-4BA1-B1E7-80CD84775FE9}"/>
  <bookViews>
    <workbookView xWindow="25695" yWindow="0" windowWidth="26010" windowHeight="20985" xr2:uid="{BE2B597D-B120-4C36-9BAF-3210B7FB0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<sst xmlns="http://schemas.openxmlformats.org/spreadsheetml/2006/main" count="87" uniqueCount="81">
  <si>
    <t>Demand</t>
  </si>
  <si>
    <t>Labor Constraint</t>
  </si>
  <si>
    <t>3(X1) + 2(X2) &lt;= 5000</t>
  </si>
  <si>
    <t>Collegiate Demand</t>
  </si>
  <si>
    <t>X1 &lt;=1000</t>
  </si>
  <si>
    <t xml:space="preserve">Mini Demand </t>
  </si>
  <si>
    <t>X2 &lt;= 1200</t>
  </si>
  <si>
    <t>Constraints</t>
  </si>
  <si>
    <t>Formula</t>
  </si>
  <si>
    <t>Mini (X2)</t>
  </si>
  <si>
    <t>Decision Variables</t>
  </si>
  <si>
    <t>Collegiate (X1)</t>
  </si>
  <si>
    <t>Non-negativity</t>
  </si>
  <si>
    <t>Objective Function</t>
  </si>
  <si>
    <t>Maximize Profit</t>
  </si>
  <si>
    <t>Maximize (Z) = 32(X1) + 24(X2)</t>
  </si>
  <si>
    <t>Labor (hrs)</t>
  </si>
  <si>
    <t>Nylon use (sq ft)</t>
  </si>
  <si>
    <t>Profit ($)</t>
  </si>
  <si>
    <t>X1, X2 &gt;= 0</t>
  </si>
  <si>
    <t xml:space="preserve">Nylon Supply </t>
  </si>
  <si>
    <t xml:space="preserve">.75(X1) + .6667(X2) &lt;=1400 </t>
  </si>
  <si>
    <t>Plant 1</t>
  </si>
  <si>
    <t>Plant 2</t>
  </si>
  <si>
    <t>Plant 3</t>
  </si>
  <si>
    <t>Large</t>
  </si>
  <si>
    <t>Medium</t>
  </si>
  <si>
    <t>Small</t>
  </si>
  <si>
    <t>Profit</t>
  </si>
  <si>
    <t>Capacity</t>
  </si>
  <si>
    <t>Storage</t>
  </si>
  <si>
    <t>Storage Required</t>
  </si>
  <si>
    <t>Quantity of Large Produced @ Plant 1</t>
  </si>
  <si>
    <t>L1</t>
  </si>
  <si>
    <t>L2</t>
  </si>
  <si>
    <t>L3</t>
  </si>
  <si>
    <t>M1</t>
  </si>
  <si>
    <t>M2</t>
  </si>
  <si>
    <t>M3</t>
  </si>
  <si>
    <t>Quantity of Large Produced @Plant 2</t>
  </si>
  <si>
    <t>Quantity of Large Produced@ Plant 3</t>
  </si>
  <si>
    <t>S1</t>
  </si>
  <si>
    <t>S2</t>
  </si>
  <si>
    <t>S3</t>
  </si>
  <si>
    <t>Quantity of Medium produced @ Plant 3</t>
  </si>
  <si>
    <t>Quantity of Medium produced @ Plant 2</t>
  </si>
  <si>
    <t>Quantity of Medium produced @ Plant 1</t>
  </si>
  <si>
    <t>Quantity of Small Produced @ Plant 1</t>
  </si>
  <si>
    <t>Quantity of Small Produced @ Plant 2</t>
  </si>
  <si>
    <t>Quantity of Small Produced @ Plant 3</t>
  </si>
  <si>
    <t>Max proft(Z) = 420(L1 + L2 + L3) +360(M1 + M2 + M3) +300(S1 + S2 + S3)</t>
  </si>
  <si>
    <t>Demand Large</t>
  </si>
  <si>
    <t>L1 + L2 + L3 &lt;= 900</t>
  </si>
  <si>
    <t>Demand Medium</t>
  </si>
  <si>
    <t>M1 + M2 + M3 &lt;=1200</t>
  </si>
  <si>
    <t>Demand Small</t>
  </si>
  <si>
    <t>S1 + S2 + S3 &lt;= 750</t>
  </si>
  <si>
    <t>L1 + M1 + S1 &lt;=750</t>
  </si>
  <si>
    <t>L2 + M2 + S2 &lt;= 900</t>
  </si>
  <si>
    <t>L3 + M3 + S3 &lt;= 450</t>
  </si>
  <si>
    <t>Storage Room Plant 1</t>
  </si>
  <si>
    <t>20L1 + 15M1 + 12S1 &lt;=13000</t>
  </si>
  <si>
    <t>Storage Room Plant 2</t>
  </si>
  <si>
    <t>Storage Room Plant 3</t>
  </si>
  <si>
    <t>20L2 + 15M2 + 12S2 &lt;=12000</t>
  </si>
  <si>
    <t>20L3 + 15M3 + 12S3 &lt;= 5000</t>
  </si>
  <si>
    <t>Non Negativity</t>
  </si>
  <si>
    <t>L1, L2, L3, M1, M2, M3, S1, S2, S3 &gt;=0</t>
  </si>
  <si>
    <t>L1 + M1 + S1 = 750P</t>
  </si>
  <si>
    <t>Capactity Plant 1</t>
  </si>
  <si>
    <t>Capactity Plant 2</t>
  </si>
  <si>
    <t>Capactity Plant 3</t>
  </si>
  <si>
    <t>P = percentage of excess capacity used at each plant</t>
  </si>
  <si>
    <t>L2 + M2 + S2 = 900P</t>
  </si>
  <si>
    <t>L3 + M3 + S3 = 450P</t>
  </si>
  <si>
    <t>0 &lt;= P &lt;= 1</t>
  </si>
  <si>
    <t>Plant 1 percentage constraint</t>
  </si>
  <si>
    <t>Plant 2 percentage constraint</t>
  </si>
  <si>
    <t>Plant 3 percentage constraint</t>
  </si>
  <si>
    <t>Collegiate Backpacks Produced per week: X1</t>
  </si>
  <si>
    <t>Mini Backpacks Produced per week: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</si>
</sst>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0" fillId="0" borderId="3" xfId="0" applyBorder="1"/>
    <xf numFmtId="164" fontId="0" fillId="0" borderId="4" xfId="0" applyNumberFormat="1" applyBorder="1"/>
    <xf numFmtId="0" fontId="0" fillId="2" borderId="0" xfId="0" applyFill="1"/>
    <xf numFmtId="0" fontId="0" fillId="0" borderId="0" xfId="0" applyBorder="1"/>
    <xf numFmtId="0" fontId="0" fillId="0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C87C-90E0-474D-9BA4-6DCAC8D10F6D}">
  <dimension ref="A1:W24"/>
  <sheetViews>
    <sheetView tabSelected="1" zoomScale="115" zoomScaleNormal="115" workbookViewId="0">
      <selection activeCell="G1" sqref="G1:G2"/>
    </sheetView>
  </sheetViews>
  <sheetFormatPr defaultRowHeight="15" x14ac:dyDescent="0.25"/>
  <cols>
    <col min="1" max="1" width="16" bestFit="1" customWidth="1"/>
    <col min="2" max="2" width="14.42578125" bestFit="1" customWidth="1"/>
    <col min="3" max="3" width="8.85546875" bestFit="1" customWidth="1"/>
    <col min="4" max="4" width="17.85546875" bestFit="1" customWidth="1"/>
    <col min="5" max="5" width="27.5703125" bestFit="1" customWidth="1"/>
    <col min="6" max="6" width="40.85546875" bestFit="1" customWidth="1"/>
    <col min="7" max="7" width="18.28515625" bestFit="1" customWidth="1"/>
    <col min="8" max="8" width="9.140625" customWidth="1"/>
    <col min="9" max="9" width="8.5703125" bestFit="1" customWidth="1"/>
    <col min="10" max="12" width="7" bestFit="1" customWidth="1"/>
    <col min="14" max="14" width="16" bestFit="1" customWidth="1"/>
    <col min="15" max="15" width="5.7109375" bestFit="1" customWidth="1"/>
    <col min="16" max="16" width="8.140625" bestFit="1" customWidth="1"/>
    <col min="17" max="17" width="6" bestFit="1" customWidth="1"/>
    <col min="19" max="19" width="27.140625" bestFit="1" customWidth="1"/>
    <col min="20" max="20" width="32.5703125" bestFit="1" customWidth="1"/>
    <col min="21" max="21" width="27.28515625" customWidth="1"/>
    <col min="22" max="22" width="36.42578125" bestFit="1" customWidth="1"/>
    <col min="23" max="23" width="18.5703125" bestFit="1" customWidth="1"/>
  </cols>
  <sheetData>
    <row r="1" spans="1:23" x14ac:dyDescent="0.25">
      <c r="B1" s="3" t="s">
        <v>11</v>
      </c>
      <c r="C1" s="3" t="s">
        <v>9</v>
      </c>
      <c r="D1" s="3" t="s">
        <v>7</v>
      </c>
      <c r="E1" s="3"/>
      <c r="F1" s="3" t="s">
        <v>10</v>
      </c>
      <c r="G1" s="3" t="s">
        <v>13</v>
      </c>
      <c r="H1" s="6"/>
      <c r="I1" s="1"/>
      <c r="J1" s="1" t="s">
        <v>22</v>
      </c>
      <c r="K1" s="1" t="s">
        <v>23</v>
      </c>
      <c r="L1" s="1" t="s">
        <v>24</v>
      </c>
      <c r="M1" s="1"/>
      <c r="N1" s="1"/>
      <c r="O1" s="1" t="s">
        <v>25</v>
      </c>
      <c r="P1" s="1" t="s">
        <v>26</v>
      </c>
      <c r="Q1" s="1" t="s">
        <v>27</v>
      </c>
      <c r="R1" s="1"/>
      <c r="S1" s="1" t="s">
        <v>7</v>
      </c>
      <c r="T1" s="1"/>
      <c r="U1" s="1" t="s">
        <v>10</v>
      </c>
      <c r="V1" s="1"/>
      <c r="W1" s="1" t="s">
        <v>13</v>
      </c>
    </row>
    <row r="2" spans="1:23" x14ac:dyDescent="0.25">
      <c r="A2" s="3" t="s">
        <v>16</v>
      </c>
      <c r="B2" s="4">
        <v>0.75</v>
      </c>
      <c r="C2" s="5">
        <f>2/3</f>
        <v>0.66666666666666663</v>
      </c>
      <c r="D2" s="4" t="s">
        <v>20</v>
      </c>
      <c r="E2" s="4" t="s">
        <v>2</v>
      </c>
      <c r="F2" s="4" t="s">
        <v>79</v>
      </c>
      <c r="G2" s="1" t="s">
        <v>14</v>
      </c>
      <c r="H2" s="6"/>
      <c r="I2" s="1" t="s">
        <v>29</v>
      </c>
      <c r="J2" s="1">
        <v>750</v>
      </c>
      <c r="K2" s="1">
        <v>900</v>
      </c>
      <c r="L2" s="1">
        <v>450</v>
      </c>
      <c r="M2" s="1"/>
      <c r="N2" s="1" t="s">
        <v>28</v>
      </c>
      <c r="O2" s="1">
        <v>420</v>
      </c>
      <c r="P2" s="1">
        <v>360</v>
      </c>
      <c r="Q2" s="1">
        <v>300</v>
      </c>
      <c r="R2" s="1"/>
      <c r="S2" s="1" t="s">
        <v>51</v>
      </c>
      <c r="T2" s="1" t="s">
        <v>52</v>
      </c>
      <c r="U2" s="1" t="s">
        <v>33</v>
      </c>
      <c r="V2" s="1" t="s">
        <v>32</v>
      </c>
      <c r="W2" s="8" t="s">
        <v>14</v>
      </c>
    </row>
    <row r="3" spans="1:23" ht="15.75" customHeight="1" x14ac:dyDescent="0.25">
      <c r="A3" s="3" t="s">
        <v>17</v>
      </c>
      <c r="B3" s="1">
        <v>3</v>
      </c>
      <c r="C3" s="2">
        <v>2</v>
      </c>
      <c r="D3" s="1" t="s">
        <v>1</v>
      </c>
      <c r="E3" s="1" t="s">
        <v>21</v>
      </c>
      <c r="F3" s="1" t="s">
        <v>80</v>
      </c>
      <c r="H3" s="6"/>
      <c r="I3" s="1" t="s">
        <v>30</v>
      </c>
      <c r="J3" s="1">
        <v>13000</v>
      </c>
      <c r="K3" s="1">
        <v>12000</v>
      </c>
      <c r="L3" s="1">
        <v>5000</v>
      </c>
      <c r="M3" s="1"/>
      <c r="N3" s="1" t="s">
        <v>31</v>
      </c>
      <c r="O3" s="1">
        <v>20</v>
      </c>
      <c r="P3" s="1">
        <v>15</v>
      </c>
      <c r="Q3" s="1">
        <v>12</v>
      </c>
      <c r="R3" s="1"/>
      <c r="S3" s="1" t="s">
        <v>53</v>
      </c>
      <c r="T3" s="1" t="s">
        <v>54</v>
      </c>
      <c r="U3" s="1" t="s">
        <v>34</v>
      </c>
      <c r="V3" s="1" t="s">
        <v>39</v>
      </c>
    </row>
    <row r="4" spans="1:23" x14ac:dyDescent="0.25">
      <c r="A4" s="3" t="s">
        <v>0</v>
      </c>
      <c r="B4" s="1">
        <v>1000</v>
      </c>
      <c r="C4" s="2">
        <v>1200</v>
      </c>
      <c r="D4" s="1" t="s">
        <v>3</v>
      </c>
      <c r="E4" s="1" t="s">
        <v>4</v>
      </c>
      <c r="H4" s="6"/>
      <c r="I4" s="1"/>
      <c r="J4" s="1"/>
      <c r="K4" s="1"/>
      <c r="L4" s="1"/>
      <c r="M4" s="1"/>
      <c r="N4" s="1" t="s">
        <v>0</v>
      </c>
      <c r="O4" s="1">
        <v>900</v>
      </c>
      <c r="P4" s="1">
        <v>1200</v>
      </c>
      <c r="Q4" s="1">
        <v>750</v>
      </c>
      <c r="R4" s="1"/>
      <c r="S4" s="1" t="s">
        <v>55</v>
      </c>
      <c r="T4" s="1" t="s">
        <v>56</v>
      </c>
      <c r="U4" s="1" t="s">
        <v>35</v>
      </c>
      <c r="V4" s="1" t="s">
        <v>40</v>
      </c>
    </row>
    <row r="5" spans="1:23" x14ac:dyDescent="0.25">
      <c r="A5" s="3" t="s">
        <v>18</v>
      </c>
      <c r="B5" s="1">
        <v>32</v>
      </c>
      <c r="C5" s="2">
        <v>24</v>
      </c>
      <c r="D5" s="1" t="s">
        <v>5</v>
      </c>
      <c r="E5" s="1" t="s">
        <v>6</v>
      </c>
      <c r="H5" s="6"/>
      <c r="S5" s="1" t="s">
        <v>69</v>
      </c>
      <c r="T5" s="1" t="s">
        <v>57</v>
      </c>
      <c r="U5" s="1" t="s">
        <v>36</v>
      </c>
      <c r="V5" s="1" t="s">
        <v>46</v>
      </c>
    </row>
    <row r="6" spans="1:23" x14ac:dyDescent="0.25">
      <c r="D6" s="1" t="s">
        <v>12</v>
      </c>
      <c r="E6" s="1" t="s">
        <v>19</v>
      </c>
      <c r="H6" s="6"/>
      <c r="S6" s="1" t="s">
        <v>70</v>
      </c>
      <c r="T6" s="1" t="s">
        <v>58</v>
      </c>
      <c r="U6" s="1" t="s">
        <v>37</v>
      </c>
      <c r="V6" s="1" t="s">
        <v>45</v>
      </c>
    </row>
    <row r="7" spans="1:23" x14ac:dyDescent="0.25">
      <c r="D7" s="1" t="s">
        <v>8</v>
      </c>
      <c r="E7" s="1" t="s">
        <v>15</v>
      </c>
      <c r="H7" s="6"/>
      <c r="S7" s="1" t="s">
        <v>71</v>
      </c>
      <c r="T7" s="1" t="s">
        <v>59</v>
      </c>
      <c r="U7" s="1" t="s">
        <v>38</v>
      </c>
      <c r="V7" s="1" t="s">
        <v>44</v>
      </c>
    </row>
    <row r="8" spans="1:23" x14ac:dyDescent="0.25">
      <c r="H8" s="6"/>
      <c r="S8" s="1" t="s">
        <v>60</v>
      </c>
      <c r="T8" s="1" t="s">
        <v>61</v>
      </c>
      <c r="U8" s="1" t="s">
        <v>41</v>
      </c>
      <c r="V8" s="1" t="s">
        <v>47</v>
      </c>
    </row>
    <row r="9" spans="1:23" x14ac:dyDescent="0.25">
      <c r="H9" s="6"/>
      <c r="S9" s="1" t="s">
        <v>62</v>
      </c>
      <c r="T9" s="1" t="s">
        <v>64</v>
      </c>
      <c r="U9" s="1" t="s">
        <v>42</v>
      </c>
      <c r="V9" s="1" t="s">
        <v>48</v>
      </c>
    </row>
    <row r="10" spans="1:23" x14ac:dyDescent="0.25">
      <c r="H10" s="6"/>
      <c r="S10" s="1" t="s">
        <v>63</v>
      </c>
      <c r="T10" s="1" t="s">
        <v>65</v>
      </c>
      <c r="U10" s="1" t="s">
        <v>43</v>
      </c>
      <c r="V10" s="1" t="s">
        <v>49</v>
      </c>
    </row>
    <row r="11" spans="1:23" x14ac:dyDescent="0.25">
      <c r="S11" s="1" t="s">
        <v>76</v>
      </c>
      <c r="T11" s="1" t="s">
        <v>68</v>
      </c>
      <c r="U11" s="1"/>
      <c r="V11" s="1"/>
    </row>
    <row r="12" spans="1:23" x14ac:dyDescent="0.25">
      <c r="S12" s="1" t="s">
        <v>77</v>
      </c>
      <c r="T12" s="1" t="s">
        <v>73</v>
      </c>
      <c r="U12" s="1" t="s">
        <v>8</v>
      </c>
      <c r="V12" s="1"/>
    </row>
    <row r="13" spans="1:23" x14ac:dyDescent="0.25">
      <c r="S13" s="1" t="s">
        <v>78</v>
      </c>
      <c r="T13" s="1" t="s">
        <v>74</v>
      </c>
      <c r="U13" s="9" t="s">
        <v>50</v>
      </c>
      <c r="V13" s="9"/>
    </row>
    <row r="14" spans="1:23" x14ac:dyDescent="0.25">
      <c r="S14" s="9" t="s">
        <v>72</v>
      </c>
      <c r="T14" s="9"/>
    </row>
    <row r="15" spans="1:23" x14ac:dyDescent="0.25">
      <c r="S15" s="9" t="s">
        <v>75</v>
      </c>
      <c r="T15" s="9"/>
    </row>
    <row r="16" spans="1:23" x14ac:dyDescent="0.25">
      <c r="S16" s="8" t="s">
        <v>66</v>
      </c>
      <c r="T16" s="8" t="s">
        <v>67</v>
      </c>
    </row>
    <row r="17" spans="20:20" x14ac:dyDescent="0.25">
      <c r="T17" s="7"/>
    </row>
    <row r="18" spans="20:20" x14ac:dyDescent="0.25">
      <c r="T18" s="7"/>
    </row>
    <row r="19" spans="20:20" x14ac:dyDescent="0.25">
      <c r="T19" s="7"/>
    </row>
    <row r="20" spans="20:20" x14ac:dyDescent="0.25">
      <c r="T20" s="7"/>
    </row>
    <row r="21" spans="20:20" x14ac:dyDescent="0.25">
      <c r="T21" s="7"/>
    </row>
    <row r="22" spans="20:20" x14ac:dyDescent="0.25">
      <c r="T22" s="7"/>
    </row>
    <row r="23" spans="20:20" x14ac:dyDescent="0.25">
      <c r="T23" s="7"/>
    </row>
    <row r="24" spans="20:20" x14ac:dyDescent="0.25">
      <c r="T24" s="7"/>
    </row>
  </sheetData>
  <mergeCells count="3">
    <mergeCell ref="U13:V13"/>
    <mergeCell ref="S14:T14"/>
    <mergeCell ref="S15:T1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hamilton</dc:creator>
  <cp:lastModifiedBy>Hamilton, Dylan</cp:lastModifiedBy>
  <dcterms:created xsi:type="dcterms:W3CDTF">2026-09-09T00:11:33Z</dcterms:created>
  <dcterms:modified xsi:type="dcterms:W3CDTF">2026-09-13T14:35:51Z</dcterms:modified>
</cp:coreProperties>
</file>